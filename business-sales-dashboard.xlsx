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<sst xmlns="http://schemas.openxmlformats.org/spreadsheetml/2006/main" count="47" uniqueCount="27">
  <si>
    <t>Date</t>
  </si>
  <si>
    <t xml:space="preserve">Product </t>
  </si>
  <si>
    <t xml:space="preserve">Quantity </t>
  </si>
  <si>
    <t>Unit Price (₦)</t>
  </si>
  <si>
    <t>Total Sales (₦)</t>
  </si>
  <si>
    <t xml:space="preserve">Region </t>
  </si>
  <si>
    <t>Rice</t>
  </si>
  <si>
    <t>Ibadan</t>
  </si>
  <si>
    <t>Beans</t>
  </si>
  <si>
    <t>Lagos</t>
  </si>
  <si>
    <t>Oil</t>
  </si>
  <si>
    <t>Osogbo</t>
  </si>
  <si>
    <t>BUSINESS SALES DASHBOARD</t>
  </si>
  <si>
    <t>Total Revenue (₦)</t>
  </si>
  <si>
    <t>Total Quantity Sold</t>
  </si>
  <si>
    <t>Number of Transactions</t>
  </si>
  <si>
    <t>Average Transaction Value (₦)</t>
  </si>
  <si>
    <t>Product</t>
  </si>
  <si>
    <t>Quantity Sold</t>
  </si>
  <si>
    <t>Region</t>
  </si>
  <si>
    <t xml:space="preserve">Lagos </t>
  </si>
  <si>
    <t xml:space="preserve">Osogbo </t>
  </si>
  <si>
    <t>BUSINESS INSIGHTS &amp; RECOMMENDATIONS</t>
  </si>
  <si>
    <t>Total revenue was ₦2,085,000 from 10 transactions.</t>
  </si>
  <si>
    <t>Rice generated the highest product revenue at ₦1,125,000.</t>
  </si>
  <si>
    <t>Lagos generated the highest regional revenue at ₦909,000.</t>
  </si>
  <si>
    <t>Investigate sales activity in Osogbo to understand its lower revenue before making changes.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</si>
</sst>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4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Revenue by Product 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Sheet1!$B$21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Sheet1!$A$22:$A$24</c:f>
            </c:strRef>
          </c:cat>
          <c:val>
            <c:numRef>
              <c:f>Sheet1!$B$22:$B$24</c:f>
              <c:numCache/>
            </c:numRef>
          </c:val>
        </c:ser>
        <c:axId val="702948990"/>
        <c:axId val="797654373"/>
      </c:barChart>
      <c:catAx>
        <c:axId val="7029489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654373"/>
      </c:catAx>
      <c:valAx>
        <c:axId val="7976543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 (₦)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9489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Sheet1!$B$27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Sheet1!$A$28:$A$30</c:f>
            </c:strRef>
          </c:cat>
          <c:val>
            <c:numRef>
              <c:f>Sheet1!$B$28:$B$30</c:f>
              <c:numCache/>
            </c:numRef>
          </c:val>
        </c:ser>
        <c:axId val="1098174707"/>
        <c:axId val="1296633187"/>
      </c:barChart>
      <c:catAx>
        <c:axId val="10981747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633187"/>
      </c:catAx>
      <c:valAx>
        <c:axId val="1296633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 (₦)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1747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5705475" cy="3019425"/>
    <xdr:graphicFrame>
      <xdr:nvGraphicFramePr>
        <xdr:cNvPr id="1" name="Chart 1" title="Revenue by Product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0</xdr:rowOff>
    </xdr:from>
    <xdr:ext cx="5715000" cy="3009900"/>
    <xdr:graphicFrame>
      <xdr:nvGraphicFramePr>
        <xdr:cNvPr id="2" name="Chart 2" title="Revenue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25"/>
    <col customWidth="1" min="2" max="2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>
        <v>46032.0</v>
      </c>
      <c r="B2" s="4" t="s">
        <v>6</v>
      </c>
      <c r="C2" s="4">
        <v>10.0</v>
      </c>
      <c r="D2" s="5">
        <v>25000.0</v>
      </c>
      <c r="E2" s="6">
        <f t="shared" ref="E2:E11" si="1">C2*D2</f>
        <v>250000</v>
      </c>
      <c r="F2" s="4" t="s">
        <v>7</v>
      </c>
    </row>
    <row r="3">
      <c r="A3" s="3">
        <v>46063.0</v>
      </c>
      <c r="B3" s="4" t="s">
        <v>8</v>
      </c>
      <c r="C3" s="4">
        <v>8.0</v>
      </c>
      <c r="D3" s="5">
        <v>18000.0</v>
      </c>
      <c r="E3" s="6">
        <f t="shared" si="1"/>
        <v>144000</v>
      </c>
      <c r="F3" s="4" t="s">
        <v>9</v>
      </c>
    </row>
    <row r="4">
      <c r="A4" s="3">
        <v>46091.0</v>
      </c>
      <c r="B4" s="4" t="s">
        <v>10</v>
      </c>
      <c r="C4" s="4">
        <v>12.0</v>
      </c>
      <c r="D4" s="5">
        <v>15000.0</v>
      </c>
      <c r="E4" s="6">
        <f t="shared" si="1"/>
        <v>180000</v>
      </c>
      <c r="F4" s="4" t="s">
        <v>7</v>
      </c>
    </row>
    <row r="5">
      <c r="A5" s="3">
        <v>46122.0</v>
      </c>
      <c r="B5" s="4" t="s">
        <v>6</v>
      </c>
      <c r="C5" s="4">
        <v>15.0</v>
      </c>
      <c r="D5" s="5">
        <v>25000.0</v>
      </c>
      <c r="E5" s="6">
        <f t="shared" si="1"/>
        <v>375000</v>
      </c>
      <c r="F5" s="4" t="s">
        <v>9</v>
      </c>
    </row>
    <row r="6">
      <c r="A6" s="3">
        <v>46152.0</v>
      </c>
      <c r="B6" s="4" t="s">
        <v>8</v>
      </c>
      <c r="C6" s="4">
        <v>10.0</v>
      </c>
      <c r="D6" s="5">
        <v>18000.0</v>
      </c>
      <c r="E6" s="6">
        <f t="shared" si="1"/>
        <v>180000</v>
      </c>
      <c r="F6" s="4" t="s">
        <v>11</v>
      </c>
    </row>
    <row r="7">
      <c r="A7" s="3">
        <v>46183.0</v>
      </c>
      <c r="B7" s="4" t="s">
        <v>10</v>
      </c>
      <c r="C7" s="4">
        <v>6.0</v>
      </c>
      <c r="D7" s="5">
        <v>15000.0</v>
      </c>
      <c r="E7" s="6">
        <f t="shared" si="1"/>
        <v>90000</v>
      </c>
      <c r="F7" s="4" t="s">
        <v>9</v>
      </c>
    </row>
    <row r="8">
      <c r="A8" s="3">
        <v>46213.0</v>
      </c>
      <c r="B8" s="4" t="s">
        <v>6</v>
      </c>
      <c r="C8" s="4">
        <v>8.0</v>
      </c>
      <c r="D8" s="5">
        <v>25000.0</v>
      </c>
      <c r="E8" s="6">
        <f t="shared" si="1"/>
        <v>200000</v>
      </c>
      <c r="F8" s="4" t="s">
        <v>11</v>
      </c>
    </row>
    <row r="9">
      <c r="A9" s="3">
        <v>46244.0</v>
      </c>
      <c r="B9" s="4" t="s">
        <v>8</v>
      </c>
      <c r="C9" s="4">
        <v>12.0</v>
      </c>
      <c r="D9" s="5">
        <v>18000.0</v>
      </c>
      <c r="E9" s="6">
        <f t="shared" si="1"/>
        <v>216000</v>
      </c>
      <c r="F9" s="4" t="s">
        <v>7</v>
      </c>
    </row>
    <row r="10">
      <c r="A10" s="3">
        <v>46275.0</v>
      </c>
      <c r="B10" s="4" t="s">
        <v>10</v>
      </c>
      <c r="C10" s="4">
        <v>10.0</v>
      </c>
      <c r="D10" s="5">
        <v>15000.0</v>
      </c>
      <c r="E10" s="6">
        <f t="shared" si="1"/>
        <v>150000</v>
      </c>
      <c r="F10" s="4" t="s">
        <v>7</v>
      </c>
    </row>
    <row r="11">
      <c r="A11" s="7">
        <v>46305.0</v>
      </c>
      <c r="B11" s="4" t="s">
        <v>6</v>
      </c>
      <c r="C11" s="4">
        <v>12.0</v>
      </c>
      <c r="D11" s="5">
        <v>25000.0</v>
      </c>
      <c r="E11" s="6">
        <f t="shared" si="1"/>
        <v>300000</v>
      </c>
      <c r="F11" s="4" t="s">
        <v>9</v>
      </c>
    </row>
    <row r="14">
      <c r="A14" s="8" t="s">
        <v>12</v>
      </c>
    </row>
    <row r="15">
      <c r="A15" s="4" t="s">
        <v>13</v>
      </c>
      <c r="B15" s="9">
        <f>SUM(E2:E11)</f>
        <v>2085000</v>
      </c>
    </row>
    <row r="16">
      <c r="A16" s="4" t="s">
        <v>14</v>
      </c>
      <c r="B16" s="10">
        <f>SUM(C2:C11)</f>
        <v>103</v>
      </c>
    </row>
    <row r="17">
      <c r="A17" s="4" t="s">
        <v>15</v>
      </c>
      <c r="B17" s="10">
        <f>COUNTA(A2:A11)</f>
        <v>10</v>
      </c>
    </row>
    <row r="18">
      <c r="A18" s="4" t="s">
        <v>16</v>
      </c>
      <c r="B18" s="9">
        <f>AVERAGE(E2:E11)</f>
        <v>208500</v>
      </c>
    </row>
    <row r="21">
      <c r="A21" s="1" t="s">
        <v>17</v>
      </c>
      <c r="B21" s="1" t="s">
        <v>13</v>
      </c>
      <c r="C21" s="1" t="s">
        <v>18</v>
      </c>
    </row>
    <row r="22">
      <c r="A22" s="4" t="s">
        <v>6</v>
      </c>
      <c r="B22" s="6">
        <f>SUMIF(B2:B11,A22,E2:E11)</f>
        <v>1125000</v>
      </c>
      <c r="C22" s="11">
        <f>SUMIF(B2:B11,A22,C2:C11)</f>
        <v>45</v>
      </c>
    </row>
    <row r="23">
      <c r="A23" s="4" t="s">
        <v>8</v>
      </c>
      <c r="B23" s="6">
        <f>SUMIF(B2:B11,A23,E2:E11)</f>
        <v>540000</v>
      </c>
      <c r="C23" s="11">
        <f>SUMIF(B2:B11,A23,C2:C11)</f>
        <v>30</v>
      </c>
    </row>
    <row r="24">
      <c r="A24" s="4" t="s">
        <v>10</v>
      </c>
      <c r="B24" s="6">
        <f>SUMIF(B2:B11,A24,E2:E11)</f>
        <v>420000</v>
      </c>
      <c r="C24" s="11">
        <f>SUMIF(B2:B11,A24,C2:C11)</f>
        <v>28</v>
      </c>
    </row>
    <row r="27">
      <c r="A27" s="1" t="s">
        <v>19</v>
      </c>
      <c r="B27" s="1" t="s">
        <v>13</v>
      </c>
    </row>
    <row r="28">
      <c r="A28" s="4" t="s">
        <v>7</v>
      </c>
      <c r="B28" s="6">
        <f>SUMIF(F2:F11,A28,E2:E11)</f>
        <v>796000</v>
      </c>
    </row>
    <row r="29">
      <c r="A29" s="4" t="s">
        <v>20</v>
      </c>
      <c r="B29" s="6">
        <f>SUMIF(F2:F11,"Lagos",E2:E11)</f>
        <v>909000</v>
      </c>
    </row>
    <row r="30">
      <c r="A30" s="4" t="s">
        <v>21</v>
      </c>
      <c r="B30" s="6">
        <f>SUMIF(F2:F11,"Osogbo",E2:E11)</f>
        <v>380000</v>
      </c>
    </row>
    <row r="67">
      <c r="A67" s="8" t="s">
        <v>22</v>
      </c>
    </row>
    <row r="68">
      <c r="A68" s="4" t="s">
        <v>23</v>
      </c>
    </row>
    <row r="69">
      <c r="A69" s="4" t="s">
        <v>24</v>
      </c>
    </row>
    <row r="70">
      <c r="A70" s="4" t="s">
        <v>25</v>
      </c>
    </row>
    <row r="71">
      <c r="A71" s="4" t="s">
        <v>26</v>
      </c>
    </row>
  </sheetData>
  <drawing r:id="rId1"/>
</worksheet>
</file>